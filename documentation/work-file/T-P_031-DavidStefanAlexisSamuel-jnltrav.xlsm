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CFC\PROJET RESEAU\etml-web-server\documentation\work-file\"/>
    </mc:Choice>
  </mc:AlternateContent>
  <bookViews>
    <workbookView xWindow="0" yWindow="0" windowWidth="28800" windowHeight="1233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JNLTRAV!$A$1:$D$13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" i="157" l="1"/>
  <c r="D1" i="157"/>
  <c r="D14" i="157" s="1"/>
  <c r="D29" i="157" s="1"/>
  <c r="D43" i="157" s="1"/>
  <c r="D57" i="157" s="1"/>
  <c r="D69" i="157" s="1"/>
  <c r="D82" i="157" s="1"/>
  <c r="D95" i="157" s="1"/>
  <c r="B106" i="157"/>
  <c r="B93" i="157"/>
  <c r="B80" i="157"/>
  <c r="B67" i="157"/>
  <c r="B55" i="157"/>
  <c r="B41" i="157"/>
  <c r="B27" i="157"/>
  <c r="B18" i="154" l="1"/>
  <c r="B13" i="11" l="1"/>
</calcChain>
</file>

<file path=xl/sharedStrings.xml><?xml version="1.0" encoding="utf-8"?>
<sst xmlns="http://schemas.openxmlformats.org/spreadsheetml/2006/main" count="237" uniqueCount="94">
  <si>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</si>
  <si>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</si>
  <si>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</si>
  <si>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</si>
  <si>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</si>
  <si>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</si>
  <si>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</si>
  <si>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</si>
  <si>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</si>
  <si>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</si>
  <si>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</si>
  <si>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</si>
  <si>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</si>
  <si>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</si>
  <si>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</si>
  <si>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</si>
  <si>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</si>
  <si>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</si>
  <si>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</si>
  <si>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</si>
  <si>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</si>
  <si>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</si>
  <si>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</si>
  <si>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</si>
  <si>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P_Réseau</t>
  </si>
  <si>
    <t>David - Stefan - Alexis - Samuel</t>
  </si>
  <si>
    <t>CID2A</t>
  </si>
  <si>
    <t>ETML</t>
  </si>
  <si>
    <t>Documentation</t>
  </si>
  <si>
    <t>Rapport</t>
  </si>
  <si>
    <t>Journal de travail</t>
  </si>
  <si>
    <t>Code C#</t>
  </si>
  <si>
    <t>Configuration VM</t>
  </si>
  <si>
    <t>Répartition des tâches</t>
  </si>
  <si>
    <t>Code HTML</t>
  </si>
  <si>
    <t>Fichier de configuration IP</t>
  </si>
  <si>
    <t>Test des fonctionnalités</t>
  </si>
  <si>
    <t>STOP</t>
  </si>
  <si>
    <t>Explication de Mr. Sokoloff sur le projet</t>
  </si>
  <si>
    <t>Répartition des tâches au sein du groupe + création de l'arborescence du projet</t>
  </si>
  <si>
    <t>GROUPE</t>
  </si>
  <si>
    <t>David</t>
  </si>
  <si>
    <t>Max. 36</t>
  </si>
  <si>
    <t>Création des VM + fichier des settings</t>
  </si>
  <si>
    <t>Remplissage du journal de travail</t>
  </si>
  <si>
    <t>Documentation sur le C#</t>
  </si>
  <si>
    <t>Stefan, Samuel, Alexis</t>
  </si>
  <si>
    <t>Gitlab</t>
  </si>
  <si>
    <t>Réglage du dépôt gitlab et test sur les merge request</t>
  </si>
  <si>
    <t>Création des pages web en HTML / CSS</t>
  </si>
  <si>
    <t>Alexis</t>
  </si>
  <si>
    <t>Samuel, Stefan</t>
  </si>
  <si>
    <t>Configuration IP des VM (Windows et Linux) + Création d'un réseau privé NAT</t>
  </si>
  <si>
    <t>Code C# pour le serveur web</t>
  </si>
  <si>
    <t>Problème de PC</t>
  </si>
  <si>
    <t>Stefan</t>
  </si>
  <si>
    <t>Recherche d'informations pour la journalisation des informations</t>
  </si>
  <si>
    <t>Remplissage du journal de travail semaine 2</t>
  </si>
  <si>
    <t>Réglagle des problèmes GitLab</t>
  </si>
  <si>
    <t>Alexis, David, Stefan, Samuel</t>
  </si>
  <si>
    <t>Configuration des VM terminée -&gt; ping fonctionnel</t>
  </si>
  <si>
    <t>Recherche et renseignement sur le code C#</t>
  </si>
  <si>
    <t>Alexis, Samuel</t>
  </si>
  <si>
    <t>Fin des pages web</t>
  </si>
  <si>
    <t>Remplissage du journal de travail pour la semaine 3</t>
  </si>
  <si>
    <t>Davd</t>
  </si>
  <si>
    <t>Changement du code C# + Réglage du problème d'affichage des images et du CSS</t>
  </si>
  <si>
    <t>Recherche de d'informations pour crée un programme pour les logs</t>
  </si>
  <si>
    <t>Création d'un programme pour crée un fichier de logs</t>
  </si>
  <si>
    <t>Retouche sur les VM</t>
  </si>
  <si>
    <t>Début de la création du rapport (mise en page, récupération des informations à y mettre)</t>
  </si>
  <si>
    <t>Remplissage du journal de travail pour la semaine 4</t>
  </si>
  <si>
    <t>Absence de Stefan</t>
  </si>
  <si>
    <t>Finalisation des screens pour le rapport</t>
  </si>
  <si>
    <t>Finalisation du rapport</t>
  </si>
  <si>
    <t>Test des fonctionnalités -&gt; bug avec la VM Linux</t>
  </si>
  <si>
    <t>Samuel, Alexis</t>
  </si>
  <si>
    <t>Remplissage du journal de travail pour la semaine 8</t>
  </si>
  <si>
    <t>Recherche d'info sur le TCPListener (C#)</t>
  </si>
  <si>
    <t>Samuel</t>
  </si>
  <si>
    <t>Résolution des bugs pour le serveur Web (Connexion entre VM)</t>
  </si>
  <si>
    <t>Création du programme pour les logs + ajout de celui-ci dans le programme principal</t>
  </si>
  <si>
    <t>Alexis, Stefan</t>
  </si>
  <si>
    <t>Remplissage du journal de travail pour la semaine 5</t>
  </si>
  <si>
    <t xml:space="preserve">Résolution des bugs sur le programme pour les logs </t>
  </si>
  <si>
    <t>Changement complet du code, problème rencontré (le serveur web fonctionnait que localement)</t>
  </si>
  <si>
    <t>Modification du contenu des pages HTML + description</t>
  </si>
  <si>
    <t>Test de connexions sur le serveur web depuis les machines clients</t>
  </si>
  <si>
    <t>Remplissage du journal de travail pour la semaine 7</t>
  </si>
  <si>
    <t>Création du trello du projet</t>
  </si>
  <si>
    <t>Tentative de résolution des bugs rencontrés sur le programme concernant les logs</t>
  </si>
  <si>
    <t>Résolution du problème d'affichage du CSS (Ancien programme)</t>
  </si>
  <si>
    <t>Création + remplissage du rapport</t>
  </si>
  <si>
    <t>Remplissage du journal de travail pour la semaine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</si>
</sst>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0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7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44496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12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08"/>
  <sheetViews>
    <sheetView tabSelected="1" topLeftCell="A22" workbookViewId="0">
      <selection activeCell="C76" sqref="C76"/>
    </sheetView>
  </sheetViews>
  <sheetFormatPr baseColWidth="10" defaultColWidth="11.42578125" defaultRowHeight="13.5" x14ac:dyDescent="0.25"/>
  <cols>
    <col min="1" max="1" width="24.710937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12</v>
      </c>
      <c r="C3" s="90" t="s">
        <v>38</v>
      </c>
      <c r="D3" s="90" t="s">
        <v>40</v>
      </c>
    </row>
    <row r="4" spans="1:4" s="53" customFormat="1" x14ac:dyDescent="0.25">
      <c r="A4" s="1" t="s">
        <v>33</v>
      </c>
      <c r="B4" s="2">
        <v>12</v>
      </c>
      <c r="C4" s="91" t="s">
        <v>39</v>
      </c>
      <c r="D4" s="91" t="s">
        <v>40</v>
      </c>
    </row>
    <row r="5" spans="1:4" s="53" customFormat="1" x14ac:dyDescent="0.25">
      <c r="A5" s="1" t="s">
        <v>32</v>
      </c>
      <c r="B5" s="2">
        <v>3</v>
      </c>
      <c r="C5" s="91" t="s">
        <v>43</v>
      </c>
      <c r="D5" s="91" t="s">
        <v>41</v>
      </c>
    </row>
    <row r="6" spans="1:4" s="53" customFormat="1" x14ac:dyDescent="0.25">
      <c r="A6" s="1" t="s">
        <v>30</v>
      </c>
      <c r="B6" s="2">
        <v>1</v>
      </c>
      <c r="C6" s="91" t="s">
        <v>44</v>
      </c>
      <c r="D6" s="91" t="s">
        <v>41</v>
      </c>
    </row>
    <row r="7" spans="1:4" s="53" customFormat="1" x14ac:dyDescent="0.25">
      <c r="A7" s="1" t="s">
        <v>28</v>
      </c>
      <c r="B7" s="2">
        <v>8</v>
      </c>
      <c r="C7" s="91" t="s">
        <v>45</v>
      </c>
      <c r="D7" s="91" t="s">
        <v>46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ht="14.25" thickBot="1" x14ac:dyDescent="0.3">
      <c r="A11" s="1"/>
      <c r="B11" s="2"/>
      <c r="C11" s="10"/>
      <c r="D11" s="10"/>
    </row>
    <row r="12" spans="1:4" ht="14.25" thickBot="1" x14ac:dyDescent="0.3">
      <c r="A12" s="48" t="s">
        <v>22</v>
      </c>
      <c r="B12" s="48">
        <f>SUM(B3:B11)</f>
        <v>36</v>
      </c>
      <c r="C12" s="89" t="s">
        <v>42</v>
      </c>
      <c r="D12" s="49"/>
    </row>
    <row r="13" spans="1:4" ht="15" thickBot="1" x14ac:dyDescent="0.35">
      <c r="A13" s="50"/>
      <c r="B13" s="50"/>
      <c r="C13" s="50"/>
      <c r="D13" s="50"/>
    </row>
    <row r="14" spans="1:4" ht="18.75" thickBot="1" x14ac:dyDescent="0.3">
      <c r="A14" s="43" t="s">
        <v>14</v>
      </c>
      <c r="B14" s="44">
        <v>2</v>
      </c>
      <c r="C14" s="45" t="s">
        <v>23</v>
      </c>
      <c r="D14" s="54">
        <f>$D$1+7</f>
        <v>44440</v>
      </c>
    </row>
    <row r="15" spans="1:4" ht="27.75" thickBot="1" x14ac:dyDescent="0.3">
      <c r="A15" s="46" t="s">
        <v>3</v>
      </c>
      <c r="B15" s="47" t="s">
        <v>15</v>
      </c>
      <c r="C15" s="46" t="s">
        <v>7</v>
      </c>
      <c r="D15" s="46" t="s">
        <v>13</v>
      </c>
    </row>
    <row r="16" spans="1:4" x14ac:dyDescent="0.25">
      <c r="A16" s="5" t="s">
        <v>47</v>
      </c>
      <c r="B16" s="4">
        <v>4</v>
      </c>
      <c r="C16" s="90" t="s">
        <v>48</v>
      </c>
      <c r="D16" s="90" t="s">
        <v>41</v>
      </c>
    </row>
    <row r="17" spans="1:9" x14ac:dyDescent="0.25">
      <c r="A17" s="1" t="s">
        <v>34</v>
      </c>
      <c r="B17" s="2">
        <v>7</v>
      </c>
      <c r="C17" s="91" t="s">
        <v>49</v>
      </c>
      <c r="D17" s="91" t="s">
        <v>50</v>
      </c>
    </row>
    <row r="18" spans="1:9" x14ac:dyDescent="0.25">
      <c r="A18" s="1" t="s">
        <v>31</v>
      </c>
      <c r="B18" s="2">
        <v>16</v>
      </c>
      <c r="C18" s="91" t="s">
        <v>53</v>
      </c>
      <c r="D18" s="91" t="s">
        <v>51</v>
      </c>
      <c r="E18" s="20"/>
      <c r="F18" s="20"/>
      <c r="G18" s="20"/>
      <c r="H18" s="20"/>
      <c r="I18" s="20"/>
    </row>
    <row r="19" spans="1:9" ht="12.75" customHeight="1" x14ac:dyDescent="0.25">
      <c r="A19" s="1" t="s">
        <v>32</v>
      </c>
      <c r="B19" s="2">
        <v>4</v>
      </c>
      <c r="C19" s="91" t="s">
        <v>52</v>
      </c>
      <c r="D19" s="91" t="s">
        <v>41</v>
      </c>
      <c r="E19" s="20"/>
      <c r="F19" s="32"/>
      <c r="G19" s="33"/>
      <c r="H19" s="34"/>
      <c r="I19" s="20"/>
    </row>
    <row r="20" spans="1:9" ht="15" x14ac:dyDescent="0.25">
      <c r="A20" s="1" t="s">
        <v>21</v>
      </c>
      <c r="B20" s="2">
        <v>2</v>
      </c>
      <c r="C20" s="91" t="s">
        <v>54</v>
      </c>
      <c r="D20" s="91" t="s">
        <v>55</v>
      </c>
      <c r="E20" s="20"/>
      <c r="F20" s="35"/>
      <c r="G20" s="31"/>
      <c r="H20" s="31"/>
      <c r="I20" s="20"/>
    </row>
    <row r="21" spans="1:9" x14ac:dyDescent="0.25">
      <c r="A21" s="1" t="s">
        <v>30</v>
      </c>
      <c r="B21" s="2">
        <v>1</v>
      </c>
      <c r="C21" s="91" t="s">
        <v>57</v>
      </c>
      <c r="D21" s="91" t="s">
        <v>41</v>
      </c>
      <c r="E21" s="20"/>
      <c r="F21" s="37"/>
      <c r="G21" s="38"/>
      <c r="H21" s="38"/>
      <c r="I21" s="20"/>
    </row>
    <row r="22" spans="1:9" x14ac:dyDescent="0.25">
      <c r="A22" s="1" t="s">
        <v>28</v>
      </c>
      <c r="B22" s="2">
        <v>2</v>
      </c>
      <c r="C22" s="91" t="s">
        <v>56</v>
      </c>
      <c r="D22" s="91" t="s">
        <v>50</v>
      </c>
      <c r="E22" s="20"/>
      <c r="F22" s="37"/>
      <c r="G22" s="38"/>
      <c r="H22" s="38"/>
      <c r="I22" s="20"/>
    </row>
    <row r="23" spans="1:9" x14ac:dyDescent="0.25">
      <c r="A23" s="1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1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2"/>
      <c r="B26" s="2"/>
      <c r="C26" s="10"/>
      <c r="D26" s="10"/>
      <c r="E26" s="20"/>
      <c r="F26" s="37"/>
      <c r="G26" s="38"/>
      <c r="H26" s="38"/>
      <c r="I26" s="20"/>
    </row>
    <row r="27" spans="1:9" ht="14.25" thickBot="1" x14ac:dyDescent="0.3">
      <c r="A27" s="48" t="s">
        <v>22</v>
      </c>
      <c r="B27" s="48">
        <f>SUM(B16:B26)</f>
        <v>36</v>
      </c>
      <c r="C27" s="89" t="s">
        <v>42</v>
      </c>
      <c r="D27" s="49"/>
      <c r="E27" s="20"/>
      <c r="F27" s="20"/>
      <c r="G27" s="20"/>
      <c r="H27" s="20"/>
      <c r="I27" s="20"/>
    </row>
    <row r="28" spans="1:9" ht="15" thickBot="1" x14ac:dyDescent="0.35">
      <c r="A28" s="50"/>
      <c r="B28" s="50"/>
      <c r="C28" s="50"/>
      <c r="D28" s="50"/>
      <c r="E28" s="20"/>
      <c r="F28" s="20"/>
      <c r="G28" s="20"/>
      <c r="H28" s="20"/>
      <c r="I28" s="20"/>
    </row>
    <row r="29" spans="1:9" ht="18.75" thickBot="1" x14ac:dyDescent="0.3">
      <c r="A29" s="43" t="s">
        <v>14</v>
      </c>
      <c r="B29" s="44">
        <v>3</v>
      </c>
      <c r="C29" s="45" t="s">
        <v>23</v>
      </c>
      <c r="D29" s="54">
        <f>$D$14+7</f>
        <v>44447</v>
      </c>
      <c r="E29" s="20"/>
      <c r="F29" s="20"/>
      <c r="G29" s="20"/>
      <c r="H29" s="20"/>
      <c r="I29" s="20"/>
    </row>
    <row r="30" spans="1:9" ht="27.75" thickBot="1" x14ac:dyDescent="0.3">
      <c r="A30" s="46" t="s">
        <v>3</v>
      </c>
      <c r="B30" s="47" t="s">
        <v>15</v>
      </c>
      <c r="C30" s="46" t="s">
        <v>7</v>
      </c>
      <c r="D30" s="46" t="s">
        <v>13</v>
      </c>
    </row>
    <row r="31" spans="1:9" x14ac:dyDescent="0.25">
      <c r="A31" s="5" t="s">
        <v>47</v>
      </c>
      <c r="B31" s="4">
        <v>12</v>
      </c>
      <c r="C31" s="90" t="s">
        <v>58</v>
      </c>
      <c r="D31" s="90" t="s">
        <v>59</v>
      </c>
    </row>
    <row r="32" spans="1:9" x14ac:dyDescent="0.25">
      <c r="A32" s="1" t="s">
        <v>32</v>
      </c>
      <c r="B32" s="2">
        <v>5</v>
      </c>
      <c r="C32" s="91" t="s">
        <v>60</v>
      </c>
      <c r="D32" s="91" t="s">
        <v>41</v>
      </c>
    </row>
    <row r="33" spans="1:4" x14ac:dyDescent="0.25">
      <c r="A33" s="1" t="s">
        <v>28</v>
      </c>
      <c r="B33" s="2">
        <v>9</v>
      </c>
      <c r="C33" s="91" t="s">
        <v>61</v>
      </c>
      <c r="D33" s="91" t="s">
        <v>62</v>
      </c>
    </row>
    <row r="34" spans="1:4" x14ac:dyDescent="0.25">
      <c r="A34" s="1" t="s">
        <v>34</v>
      </c>
      <c r="B34" s="2">
        <v>3</v>
      </c>
      <c r="C34" s="91" t="s">
        <v>63</v>
      </c>
      <c r="D34" s="91" t="s">
        <v>50</v>
      </c>
    </row>
    <row r="35" spans="1:4" x14ac:dyDescent="0.25">
      <c r="A35" s="1" t="s">
        <v>31</v>
      </c>
      <c r="B35" s="2">
        <v>6</v>
      </c>
      <c r="C35" s="91" t="s">
        <v>53</v>
      </c>
      <c r="D35" s="91" t="s">
        <v>55</v>
      </c>
    </row>
    <row r="36" spans="1:4" x14ac:dyDescent="0.25">
      <c r="A36" s="1" t="s">
        <v>30</v>
      </c>
      <c r="B36" s="2">
        <v>1</v>
      </c>
      <c r="C36" s="91" t="s">
        <v>64</v>
      </c>
      <c r="D36" s="91" t="s">
        <v>65</v>
      </c>
    </row>
    <row r="37" spans="1:4" x14ac:dyDescent="0.25">
      <c r="A37" s="1"/>
      <c r="B37" s="2"/>
      <c r="C37" s="10"/>
      <c r="D37" s="10"/>
    </row>
    <row r="38" spans="1:4" x14ac:dyDescent="0.25">
      <c r="A38" s="1"/>
      <c r="B38" s="2"/>
      <c r="C38" s="10"/>
      <c r="D38" s="10"/>
    </row>
    <row r="39" spans="1:4" x14ac:dyDescent="0.25">
      <c r="A39" s="1"/>
      <c r="B39" s="2"/>
      <c r="C39" s="10"/>
      <c r="D39" s="10"/>
    </row>
    <row r="40" spans="1:4" ht="14.25" thickBot="1" x14ac:dyDescent="0.3">
      <c r="A40" s="2"/>
      <c r="B40" s="2"/>
      <c r="C40" s="10"/>
      <c r="D40" s="10"/>
    </row>
    <row r="41" spans="1:4" ht="14.25" thickBot="1" x14ac:dyDescent="0.3">
      <c r="A41" s="48" t="s">
        <v>22</v>
      </c>
      <c r="B41" s="48">
        <f>SUM(B31:B40)</f>
        <v>36</v>
      </c>
      <c r="C41" s="89" t="s">
        <v>42</v>
      </c>
      <c r="D41" s="49"/>
    </row>
    <row r="42" spans="1:4" ht="15" thickBot="1" x14ac:dyDescent="0.35">
      <c r="A42" s="50"/>
      <c r="B42" s="50"/>
      <c r="C42" s="50"/>
      <c r="D42" s="50"/>
    </row>
    <row r="43" spans="1:4" ht="18.75" thickBot="1" x14ac:dyDescent="0.3">
      <c r="A43" s="43" t="s">
        <v>14</v>
      </c>
      <c r="B43" s="44">
        <v>4</v>
      </c>
      <c r="C43" s="45" t="s">
        <v>23</v>
      </c>
      <c r="D43" s="54">
        <f>$D$29+7</f>
        <v>44454</v>
      </c>
    </row>
    <row r="44" spans="1:4" ht="27.75" thickBot="1" x14ac:dyDescent="0.3">
      <c r="A44" s="46" t="s">
        <v>3</v>
      </c>
      <c r="B44" s="47" t="s">
        <v>15</v>
      </c>
      <c r="C44" s="46" t="s">
        <v>7</v>
      </c>
      <c r="D44" s="46" t="s">
        <v>13</v>
      </c>
    </row>
    <row r="45" spans="1:4" x14ac:dyDescent="0.25">
      <c r="A45" s="5" t="s">
        <v>31</v>
      </c>
      <c r="B45" s="4">
        <v>9</v>
      </c>
      <c r="C45" s="90" t="s">
        <v>66</v>
      </c>
      <c r="D45" s="90" t="s">
        <v>55</v>
      </c>
    </row>
    <row r="46" spans="1:4" x14ac:dyDescent="0.25">
      <c r="A46" s="1" t="s">
        <v>28</v>
      </c>
      <c r="B46" s="2">
        <v>9</v>
      </c>
      <c r="C46" s="91" t="s">
        <v>67</v>
      </c>
      <c r="D46" s="91" t="s">
        <v>62</v>
      </c>
    </row>
    <row r="47" spans="1:4" x14ac:dyDescent="0.25">
      <c r="A47" s="1" t="s">
        <v>31</v>
      </c>
      <c r="B47" s="2">
        <v>9</v>
      </c>
      <c r="C47" s="91" t="s">
        <v>68</v>
      </c>
      <c r="D47" s="91" t="s">
        <v>62</v>
      </c>
    </row>
    <row r="48" spans="1:4" x14ac:dyDescent="0.25">
      <c r="A48" s="1" t="s">
        <v>32</v>
      </c>
      <c r="B48" s="2">
        <v>3</v>
      </c>
      <c r="C48" s="91" t="s">
        <v>69</v>
      </c>
      <c r="D48" s="91" t="s">
        <v>41</v>
      </c>
    </row>
    <row r="49" spans="1:4" x14ac:dyDescent="0.25">
      <c r="A49" s="1" t="s">
        <v>29</v>
      </c>
      <c r="B49" s="2">
        <v>5</v>
      </c>
      <c r="C49" s="91" t="s">
        <v>70</v>
      </c>
      <c r="D49" s="91" t="s">
        <v>41</v>
      </c>
    </row>
    <row r="50" spans="1:4" x14ac:dyDescent="0.25">
      <c r="A50" s="1" t="s">
        <v>30</v>
      </c>
      <c r="B50" s="2">
        <v>1</v>
      </c>
      <c r="C50" s="91" t="s">
        <v>71</v>
      </c>
      <c r="D50" s="91" t="s">
        <v>41</v>
      </c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ht="14.25" thickBot="1" x14ac:dyDescent="0.3">
      <c r="A54" s="2"/>
      <c r="B54" s="2"/>
      <c r="C54" s="10"/>
      <c r="D54" s="10"/>
    </row>
    <row r="55" spans="1:4" ht="14.25" thickBot="1" x14ac:dyDescent="0.3">
      <c r="A55" s="48" t="s">
        <v>22</v>
      </c>
      <c r="B55" s="48">
        <f>SUM(B45:B54)</f>
        <v>36</v>
      </c>
      <c r="C55" s="89" t="s">
        <v>42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5</v>
      </c>
      <c r="C57" s="45" t="s">
        <v>23</v>
      </c>
      <c r="D57" s="54">
        <f>$D$43+7</f>
        <v>44461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x14ac:dyDescent="0.25">
      <c r="A59" s="5" t="s">
        <v>28</v>
      </c>
      <c r="B59" s="4">
        <v>9</v>
      </c>
      <c r="C59" s="90" t="s">
        <v>78</v>
      </c>
      <c r="D59" s="90" t="s">
        <v>79</v>
      </c>
    </row>
    <row r="60" spans="1:4" x14ac:dyDescent="0.25">
      <c r="A60" s="1" t="s">
        <v>32</v>
      </c>
      <c r="B60" s="2">
        <v>8</v>
      </c>
      <c r="C60" s="91" t="s">
        <v>80</v>
      </c>
      <c r="D60" s="91" t="s">
        <v>41</v>
      </c>
    </row>
    <row r="61" spans="1:4" x14ac:dyDescent="0.25">
      <c r="A61" s="1" t="s">
        <v>31</v>
      </c>
      <c r="B61" s="2">
        <v>18</v>
      </c>
      <c r="C61" s="91" t="s">
        <v>81</v>
      </c>
      <c r="D61" s="91" t="s">
        <v>82</v>
      </c>
    </row>
    <row r="62" spans="1:4" x14ac:dyDescent="0.25">
      <c r="A62" s="1" t="s">
        <v>30</v>
      </c>
      <c r="B62" s="2">
        <v>1</v>
      </c>
      <c r="C62" s="91" t="s">
        <v>83</v>
      </c>
      <c r="D62" s="91" t="s">
        <v>41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ht="14.25" thickBot="1" x14ac:dyDescent="0.3">
      <c r="A66" s="1"/>
      <c r="B66" s="2"/>
      <c r="C66" s="10"/>
      <c r="D66" s="10"/>
    </row>
    <row r="67" spans="1:4" ht="14.25" thickBot="1" x14ac:dyDescent="0.3">
      <c r="A67" s="48" t="s">
        <v>22</v>
      </c>
      <c r="B67" s="48">
        <f>SUM(B59:B66)</f>
        <v>36</v>
      </c>
      <c r="C67" s="89" t="s">
        <v>42</v>
      </c>
      <c r="D67" s="49"/>
    </row>
    <row r="68" spans="1:4" ht="15" thickBot="1" x14ac:dyDescent="0.35">
      <c r="A68" s="50"/>
      <c r="B68" s="50"/>
      <c r="C68" s="50"/>
      <c r="D68" s="50"/>
    </row>
    <row r="69" spans="1:4" ht="18.75" thickBot="1" x14ac:dyDescent="0.3">
      <c r="A69" s="43" t="s">
        <v>14</v>
      </c>
      <c r="B69" s="44">
        <v>6</v>
      </c>
      <c r="C69" s="45" t="s">
        <v>23</v>
      </c>
      <c r="D69" s="54">
        <f>$D$57+7</f>
        <v>44468</v>
      </c>
    </row>
    <row r="70" spans="1:4" ht="27.75" thickBot="1" x14ac:dyDescent="0.3">
      <c r="A70" s="46" t="s">
        <v>3</v>
      </c>
      <c r="B70" s="47" t="s">
        <v>15</v>
      </c>
      <c r="C70" s="46" t="s">
        <v>7</v>
      </c>
      <c r="D70" s="46" t="s">
        <v>13</v>
      </c>
    </row>
    <row r="71" spans="1:4" x14ac:dyDescent="0.25">
      <c r="A71" s="5" t="s">
        <v>28</v>
      </c>
      <c r="B71" s="4">
        <v>9</v>
      </c>
      <c r="C71" s="90" t="s">
        <v>89</v>
      </c>
      <c r="D71" s="90" t="s">
        <v>79</v>
      </c>
    </row>
    <row r="72" spans="1:4" x14ac:dyDescent="0.25">
      <c r="A72" s="1" t="s">
        <v>31</v>
      </c>
      <c r="B72" s="2">
        <v>9</v>
      </c>
      <c r="C72" s="91" t="s">
        <v>90</v>
      </c>
      <c r="D72" s="91" t="s">
        <v>50</v>
      </c>
    </row>
    <row r="73" spans="1:4" x14ac:dyDescent="0.25">
      <c r="A73" s="1" t="s">
        <v>31</v>
      </c>
      <c r="B73" s="2">
        <v>9</v>
      </c>
      <c r="C73" s="91" t="s">
        <v>91</v>
      </c>
      <c r="D73" s="91" t="s">
        <v>55</v>
      </c>
    </row>
    <row r="74" spans="1:4" x14ac:dyDescent="0.25">
      <c r="A74" s="1" t="s">
        <v>29</v>
      </c>
      <c r="B74" s="2">
        <v>8</v>
      </c>
      <c r="C74" s="91" t="s">
        <v>92</v>
      </c>
      <c r="D74" s="91" t="s">
        <v>41</v>
      </c>
    </row>
    <row r="75" spans="1:4" x14ac:dyDescent="0.25">
      <c r="A75" s="1" t="s">
        <v>30</v>
      </c>
      <c r="B75" s="2">
        <v>1</v>
      </c>
      <c r="C75" s="91" t="s">
        <v>93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ht="14.25" thickBot="1" x14ac:dyDescent="0.3">
      <c r="A79" s="1"/>
      <c r="B79" s="2"/>
      <c r="C79" s="10"/>
      <c r="D79" s="10"/>
    </row>
    <row r="80" spans="1:4" ht="14.25" thickBot="1" x14ac:dyDescent="0.3">
      <c r="A80" s="48" t="s">
        <v>22</v>
      </c>
      <c r="B80" s="48">
        <f>SUM(B71:B79)</f>
        <v>36</v>
      </c>
      <c r="C80" s="89" t="s">
        <v>42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14</v>
      </c>
      <c r="B82" s="44">
        <v>7</v>
      </c>
      <c r="C82" s="45" t="s">
        <v>23</v>
      </c>
      <c r="D82" s="54">
        <f>$D$69+7</f>
        <v>44475</v>
      </c>
    </row>
    <row r="83" spans="1:4" ht="27.75" thickBot="1" x14ac:dyDescent="0.3">
      <c r="A83" s="46" t="s">
        <v>3</v>
      </c>
      <c r="B83" s="47" t="s">
        <v>15</v>
      </c>
      <c r="C83" s="46" t="s">
        <v>7</v>
      </c>
      <c r="D83" s="46" t="s">
        <v>13</v>
      </c>
    </row>
    <row r="84" spans="1:4" x14ac:dyDescent="0.25">
      <c r="A84" s="5" t="s">
        <v>31</v>
      </c>
      <c r="B84" s="4">
        <v>10</v>
      </c>
      <c r="C84" s="90" t="s">
        <v>84</v>
      </c>
      <c r="D84" s="96" t="s">
        <v>82</v>
      </c>
    </row>
    <row r="85" spans="1:4" ht="27" x14ac:dyDescent="0.25">
      <c r="A85" s="1" t="s">
        <v>31</v>
      </c>
      <c r="B85" s="2">
        <v>8</v>
      </c>
      <c r="C85" s="91" t="s">
        <v>85</v>
      </c>
      <c r="D85" s="91" t="s">
        <v>82</v>
      </c>
    </row>
    <row r="86" spans="1:4" x14ac:dyDescent="0.25">
      <c r="A86" s="1" t="s">
        <v>34</v>
      </c>
      <c r="B86" s="2">
        <v>9</v>
      </c>
      <c r="C86" s="91" t="s">
        <v>86</v>
      </c>
      <c r="D86" s="91" t="s">
        <v>79</v>
      </c>
    </row>
    <row r="87" spans="1:4" x14ac:dyDescent="0.25">
      <c r="A87" s="1" t="s">
        <v>32</v>
      </c>
      <c r="B87" s="2">
        <v>8</v>
      </c>
      <c r="C87" s="91" t="s">
        <v>87</v>
      </c>
      <c r="D87" s="91" t="s">
        <v>41</v>
      </c>
    </row>
    <row r="88" spans="1:4" x14ac:dyDescent="0.25">
      <c r="A88" s="1" t="s">
        <v>30</v>
      </c>
      <c r="B88" s="2">
        <v>1</v>
      </c>
      <c r="C88" s="91" t="s">
        <v>88</v>
      </c>
      <c r="D88" s="91" t="s">
        <v>41</v>
      </c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ht="14.25" thickBot="1" x14ac:dyDescent="0.3">
      <c r="A92" s="1"/>
      <c r="B92" s="2"/>
      <c r="C92" s="10"/>
      <c r="D92" s="10"/>
    </row>
    <row r="93" spans="1:4" ht="14.25" thickBot="1" x14ac:dyDescent="0.3">
      <c r="A93" s="48" t="s">
        <v>22</v>
      </c>
      <c r="B93" s="48">
        <f>SUM(B84:B92)</f>
        <v>36</v>
      </c>
      <c r="C93" s="89" t="s">
        <v>42</v>
      </c>
      <c r="D93" s="49"/>
    </row>
    <row r="94" spans="1:4" ht="15" thickBot="1" x14ac:dyDescent="0.35">
      <c r="A94" s="50"/>
      <c r="B94" s="50"/>
      <c r="C94" s="50"/>
      <c r="D94" s="50"/>
    </row>
    <row r="95" spans="1:4" ht="18.75" thickBot="1" x14ac:dyDescent="0.3">
      <c r="A95" s="43" t="s">
        <v>14</v>
      </c>
      <c r="B95" s="44">
        <v>8</v>
      </c>
      <c r="C95" s="45" t="s">
        <v>23</v>
      </c>
      <c r="D95" s="54">
        <f>$D$82+7</f>
        <v>44482</v>
      </c>
    </row>
    <row r="96" spans="1:4" ht="27.75" thickBot="1" x14ac:dyDescent="0.3">
      <c r="A96" s="46" t="s">
        <v>3</v>
      </c>
      <c r="B96" s="47" t="s">
        <v>15</v>
      </c>
      <c r="C96" s="46" t="s">
        <v>7</v>
      </c>
      <c r="D96" s="46" t="s">
        <v>13</v>
      </c>
    </row>
    <row r="97" spans="1:4" x14ac:dyDescent="0.25">
      <c r="A97" s="5" t="s">
        <v>21</v>
      </c>
      <c r="B97" s="4">
        <v>9</v>
      </c>
      <c r="C97" s="90" t="s">
        <v>72</v>
      </c>
      <c r="D97" s="90" t="s">
        <v>55</v>
      </c>
    </row>
    <row r="98" spans="1:4" x14ac:dyDescent="0.25">
      <c r="A98" s="1" t="s">
        <v>32</v>
      </c>
      <c r="B98" s="2">
        <v>5</v>
      </c>
      <c r="C98" s="91" t="s">
        <v>73</v>
      </c>
      <c r="D98" s="91" t="s">
        <v>41</v>
      </c>
    </row>
    <row r="99" spans="1:4" x14ac:dyDescent="0.25">
      <c r="A99" s="1" t="s">
        <v>29</v>
      </c>
      <c r="B99" s="2">
        <v>18</v>
      </c>
      <c r="C99" s="91" t="s">
        <v>74</v>
      </c>
      <c r="D99" s="91" t="s">
        <v>76</v>
      </c>
    </row>
    <row r="100" spans="1:4" x14ac:dyDescent="0.25">
      <c r="A100" s="1" t="s">
        <v>36</v>
      </c>
      <c r="B100" s="2">
        <v>3</v>
      </c>
      <c r="C100" s="91" t="s">
        <v>75</v>
      </c>
      <c r="D100" s="91" t="s">
        <v>41</v>
      </c>
    </row>
    <row r="101" spans="1:4" x14ac:dyDescent="0.25">
      <c r="A101" s="1" t="s">
        <v>30</v>
      </c>
      <c r="B101" s="2">
        <v>1</v>
      </c>
      <c r="C101" s="91" t="s">
        <v>77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22</v>
      </c>
      <c r="B106" s="48">
        <f>SUM(B97:B105)</f>
        <v>36</v>
      </c>
      <c r="C106" s="89" t="s">
        <v>42</v>
      </c>
      <c r="D106" s="49"/>
    </row>
    <row r="107" spans="1:4" ht="14.25" x14ac:dyDescent="0.3">
      <c r="A107" s="50"/>
      <c r="B107" s="50"/>
      <c r="C107" s="50"/>
      <c r="D107" s="50"/>
    </row>
    <row r="108" spans="1:4" x14ac:dyDescent="0.25">
      <c r="A108" s="88" t="s">
        <v>37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21:F26 B3:B11 B16:B26 B31:B40 B45:B54 B97:B105 B84:B92 B59:B66 B71:B7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2 B27 B41 B55 B67 B80 B93 B106">
      <formula1>0</formula1>
      <formula2>NbPerWeek * NbQuartPer</formula2>
    </dataValidation>
    <dataValidation type="list" allowBlank="1" showInputMessage="1" showErrorMessage="1" sqref="A3:A11 A16:A26 A31:A40 A45:A54 A97:A105 A84:A92 A59:A66 A71:A7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David Dieperink</dc:creator>
  <cp:lastModifiedBy>David Dieperink</cp:lastModifiedBy>
  <cp:lastPrinted>2013-08-29T11:33:15Z</cp:lastPrinted>
  <dcterms:created xsi:type="dcterms:W3CDTF">1996-10-21T11:03:58Z</dcterms:created>
  <dcterms:modified xsi:type="dcterms:W3CDTF">2021-10-13T09:07:53Z</dcterms:modified>
</cp:coreProperties>
</file>